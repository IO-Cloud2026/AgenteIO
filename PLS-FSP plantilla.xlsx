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fsanpablo-my.sharepoint.com/personal/antonio_vazquez_fsanpablo_com/Documents/Archivos de chat de Microsoft Teams/"/>
    </mc:Choice>
  </mc:AlternateContent>
  <xr:revisionPtr revIDLastSave="7" documentId="13_ncr:1_{7D542159-66EC-418C-BEEA-8D33EDF65493}" xr6:coauthVersionLast="47" xr6:coauthVersionMax="47" xr10:uidLastSave="{D8357EED-B80D-4895-828F-0ADFDED9E055}"/>
  <bookViews>
    <workbookView xWindow="-108" yWindow="-108" windowWidth="23256" windowHeight="13896" xr2:uid="{00000000-000D-0000-FFFF-FFFF00000000}"/>
  </bookViews>
  <sheets>
    <sheet name="FSP-PM-009" sheetId="1" r:id="rId1"/>
    <sheet name="Hoja1" sheetId="2" state="hidden" r:id="rId2"/>
  </sheets>
  <definedNames>
    <definedName name="_xlnm.Print_Area" localSheetId="0">'FSP-PM-009'!$B$1:$O$52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" l="1"/>
  <c r="O15" i="1"/>
  <c r="O14" i="1"/>
  <c r="O17" i="1"/>
  <c r="O13" i="1"/>
  <c r="O22" i="1"/>
  <c r="O20" i="1"/>
  <c r="O19" i="1"/>
  <c r="O12" i="1"/>
  <c r="O18" i="1"/>
  <c r="O30" i="1"/>
  <c r="O29" i="1"/>
  <c r="O27" i="1"/>
  <c r="O28" i="1"/>
  <c r="O26" i="1"/>
  <c r="O25" i="1"/>
  <c r="O24" i="1"/>
  <c r="O23" i="1"/>
  <c r="O21" i="1"/>
</calcChain>
</file>

<file path=xl/sharedStrings.xml><?xml version="1.0" encoding="utf-8"?>
<sst xmlns="http://schemas.openxmlformats.org/spreadsheetml/2006/main" count="81" uniqueCount="39">
  <si>
    <t>REPORTE DE DESVIACIONES Y OPORTUNIDADES</t>
  </si>
  <si>
    <t>CLAVE:</t>
  </si>
  <si>
    <t>PROYECTO:</t>
  </si>
  <si>
    <t>FECHA:</t>
  </si>
  <si>
    <t>Leyenda</t>
  </si>
  <si>
    <t>No.</t>
  </si>
  <si>
    <t>Módulo</t>
  </si>
  <si>
    <t xml:space="preserve">Identificado 
por: </t>
  </si>
  <si>
    <t>Responsable</t>
  </si>
  <si>
    <t>Estado</t>
  </si>
  <si>
    <t>Fecha Registro</t>
  </si>
  <si>
    <t>Fecha Solución</t>
  </si>
  <si>
    <t>Tipo</t>
  </si>
  <si>
    <t>Desviación</t>
  </si>
  <si>
    <t>Acción</t>
  </si>
  <si>
    <t>Notas</t>
  </si>
  <si>
    <t>Impacto</t>
  </si>
  <si>
    <t>Probabilidad</t>
  </si>
  <si>
    <t>Resultado: Impacto * Probabilidad</t>
  </si>
  <si>
    <t>Bajo</t>
  </si>
  <si>
    <t>Media</t>
  </si>
  <si>
    <t>Muy Bajo</t>
  </si>
  <si>
    <t>Moderado</t>
  </si>
  <si>
    <t>Alto</t>
  </si>
  <si>
    <t>Muy Alto</t>
  </si>
  <si>
    <t>Alta</t>
  </si>
  <si>
    <t>Muy Alta</t>
  </si>
  <si>
    <t>media</t>
  </si>
  <si>
    <t>Baja</t>
  </si>
  <si>
    <t>Riesgo</t>
  </si>
  <si>
    <t>&lt; 0.2</t>
  </si>
  <si>
    <t>&gt;= 0.2,  &gt; 0.45</t>
  </si>
  <si>
    <t>&gt;= 0.45</t>
  </si>
  <si>
    <t>Sin iniciar</t>
  </si>
  <si>
    <t>En proceso</t>
  </si>
  <si>
    <t>Verificación PLS</t>
  </si>
  <si>
    <t>Validación G500</t>
  </si>
  <si>
    <t>Cerrado</t>
  </si>
  <si>
    <t>Cancelado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</si>
</sst>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rgb="FFFF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</font>
    <font>
      <b/>
      <sz val="18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25687"/>
        <bgColor indexed="64"/>
      </patternFill>
    </fill>
    <fill>
      <patternFill patternType="solid">
        <fgColor theme="9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7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1">
    <xf numFmtId="0" fontId="0" fillId="0" borderId="0" xfId="0"/>
    <xf numFmtId="0" fontId="1" fillId="2" borderId="0" xfId="0" applyFont="1" applyFill="1" applyProtection="1">
      <protection locked="0"/>
    </xf>
    <xf numFmtId="0" fontId="1" fillId="2" borderId="0" xfId="0" applyFont="1" applyFill="1"/>
    <xf numFmtId="0" fontId="1" fillId="0" borderId="0" xfId="0" applyFont="1" applyProtection="1">
      <protection locked="0"/>
    </xf>
    <xf numFmtId="0" fontId="4" fillId="2" borderId="0" xfId="0" applyFont="1" applyFill="1" applyProtection="1">
      <protection locked="0"/>
    </xf>
    <xf numFmtId="0" fontId="5" fillId="2" borderId="0" xfId="0" applyFont="1" applyFill="1"/>
    <xf numFmtId="0" fontId="5" fillId="0" borderId="4" xfId="0" applyFont="1" applyBorder="1"/>
    <xf numFmtId="0" fontId="5" fillId="4" borderId="5" xfId="0" applyFont="1" applyFill="1" applyBorder="1"/>
    <xf numFmtId="0" fontId="5" fillId="0" borderId="6" xfId="0" applyFont="1" applyBorder="1"/>
    <xf numFmtId="0" fontId="5" fillId="5" borderId="8" xfId="0" applyFont="1" applyFill="1" applyBorder="1"/>
    <xf numFmtId="0" fontId="5" fillId="6" borderId="8" xfId="0" applyFont="1" applyFill="1" applyBorder="1"/>
    <xf numFmtId="0" fontId="5" fillId="7" borderId="8" xfId="0" applyFont="1" applyFill="1" applyBorder="1"/>
    <xf numFmtId="0" fontId="5" fillId="0" borderId="9" xfId="0" applyFont="1" applyBorder="1"/>
    <xf numFmtId="0" fontId="5" fillId="8" borderId="10" xfId="0" applyFont="1" applyFill="1" applyBorder="1"/>
    <xf numFmtId="0" fontId="1" fillId="0" borderId="0" xfId="0" applyFont="1"/>
    <xf numFmtId="0" fontId="3" fillId="3" borderId="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" fillId="9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0" fillId="0" borderId="7" xfId="0" applyBorder="1" applyAlignment="1">
      <alignment horizontal="left" vertical="center" wrapText="1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vertical="center"/>
      <protection locked="0"/>
    </xf>
    <xf numFmtId="0" fontId="1" fillId="0" borderId="11" xfId="0" applyFont="1" applyBorder="1" applyAlignment="1" applyProtection="1">
      <alignment vertical="center"/>
      <protection locked="0"/>
    </xf>
    <xf numFmtId="16" fontId="0" fillId="0" borderId="7" xfId="0" applyNumberFormat="1" applyBorder="1" applyAlignment="1">
      <alignment horizontal="left" vertical="center" wrapText="1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hidden="1"/>
    </xf>
    <xf numFmtId="0" fontId="9" fillId="0" borderId="7" xfId="0" applyFont="1" applyBorder="1" applyAlignment="1">
      <alignment vertical="center" wrapText="1"/>
    </xf>
    <xf numFmtId="0" fontId="1" fillId="0" borderId="15" xfId="0" applyFont="1" applyBorder="1" applyAlignment="1" applyProtection="1">
      <alignment vertical="center"/>
      <protection locked="0"/>
    </xf>
    <xf numFmtId="0" fontId="5" fillId="8" borderId="8" xfId="0" applyFont="1" applyFill="1" applyBorder="1"/>
    <xf numFmtId="0" fontId="5" fillId="0" borderId="13" xfId="0" applyFont="1" applyBorder="1"/>
    <xf numFmtId="0" fontId="5" fillId="4" borderId="14" xfId="0" applyFont="1" applyFill="1" applyBorder="1"/>
    <xf numFmtId="0" fontId="5" fillId="4" borderId="4" xfId="0" applyFont="1" applyFill="1" applyBorder="1"/>
    <xf numFmtId="0" fontId="5" fillId="0" borderId="5" xfId="0" applyFont="1" applyBorder="1"/>
    <xf numFmtId="0" fontId="5" fillId="6" borderId="6" xfId="0" applyFont="1" applyFill="1" applyBorder="1"/>
    <xf numFmtId="0" fontId="5" fillId="0" borderId="8" xfId="0" applyFont="1" applyBorder="1"/>
    <xf numFmtId="0" fontId="5" fillId="8" borderId="9" xfId="0" applyFont="1" applyFill="1" applyBorder="1"/>
    <xf numFmtId="0" fontId="5" fillId="0" borderId="10" xfId="0" applyFont="1" applyBorder="1"/>
    <xf numFmtId="0" fontId="0" fillId="0" borderId="16" xfId="0" applyBorder="1" applyAlignment="1">
      <alignment horizontal="left" vertical="center" wrapText="1"/>
    </xf>
    <xf numFmtId="0" fontId="1" fillId="0" borderId="3" xfId="0" applyFont="1" applyBorder="1" applyAlignment="1" applyProtection="1">
      <alignment wrapText="1"/>
      <protection locked="0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0" fillId="0" borderId="11" xfId="0" applyBorder="1" applyAlignment="1" applyProtection="1">
      <alignment vertical="center"/>
      <protection locked="0"/>
    </xf>
    <xf numFmtId="0" fontId="0" fillId="0" borderId="11" xfId="0" applyBorder="1" applyAlignment="1" applyProtection="1">
      <alignment vertical="center" wrapText="1"/>
      <protection locked="0"/>
    </xf>
    <xf numFmtId="16" fontId="0" fillId="0" borderId="11" xfId="0" applyNumberFormat="1" applyBorder="1" applyAlignment="1" applyProtection="1">
      <alignment horizontal="left" vertical="center"/>
      <protection locked="0"/>
    </xf>
    <xf numFmtId="0" fontId="0" fillId="0" borderId="11" xfId="0" applyBorder="1" applyAlignment="1">
      <alignment horizontal="left" vertical="center" wrapText="1"/>
    </xf>
    <xf numFmtId="0" fontId="9" fillId="0" borderId="11" xfId="0" applyFont="1" applyBorder="1" applyAlignment="1">
      <alignment vertical="center" wrapText="1"/>
    </xf>
    <xf numFmtId="0" fontId="12" fillId="0" borderId="11" xfId="0" applyFont="1" applyBorder="1" applyAlignment="1">
      <alignment horizontal="left" vertical="center" wrapText="1"/>
    </xf>
    <xf numFmtId="0" fontId="1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>
      <alignment horizontal="left" vertical="center" wrapText="1"/>
    </xf>
    <xf numFmtId="16" fontId="0" fillId="0" borderId="0" xfId="0" applyNumberFormat="1" applyAlignment="1" applyProtection="1">
      <alignment horizontal="left" vertical="center"/>
      <protection locked="0"/>
    </xf>
    <xf numFmtId="0" fontId="9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" fillId="0" borderId="0" xfId="0" applyFont="1" applyAlignment="1" applyProtection="1">
      <alignment vertical="center"/>
      <protection hidden="1"/>
    </xf>
    <xf numFmtId="0" fontId="1" fillId="0" borderId="17" xfId="0" applyFont="1" applyBorder="1" applyAlignment="1" applyProtection="1">
      <alignment vertical="center"/>
      <protection locked="0"/>
    </xf>
    <xf numFmtId="0" fontId="0" fillId="0" borderId="16" xfId="0" applyBorder="1" applyAlignment="1" applyProtection="1">
      <alignment vertical="center"/>
      <protection locked="0"/>
    </xf>
    <xf numFmtId="16" fontId="0" fillId="0" borderId="16" xfId="0" applyNumberFormat="1" applyBorder="1" applyAlignment="1" applyProtection="1">
      <alignment horizontal="left" vertical="center"/>
      <protection locked="0"/>
    </xf>
    <xf numFmtId="0" fontId="9" fillId="0" borderId="16" xfId="0" applyFont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6" xfId="0" applyFont="1" applyBorder="1" applyAlignment="1" applyProtection="1">
      <alignment vertical="center"/>
      <protection locked="0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5" fillId="10" borderId="8" xfId="0" applyFont="1" applyFill="1" applyBorder="1"/>
    <xf numFmtId="0" fontId="10" fillId="2" borderId="0" xfId="0" applyFont="1" applyFill="1" applyAlignment="1" applyProtection="1">
      <alignment horizontal="center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4" fontId="1" fillId="0" borderId="3" xfId="0" applyNumberFormat="1" applyFont="1" applyBorder="1" applyAlignment="1" applyProtection="1">
      <alignment horizontal="center" wrapText="1"/>
      <protection locked="0"/>
    </xf>
    <xf numFmtId="0" fontId="1" fillId="0" borderId="2" xfId="0" applyFont="1" applyBorder="1" applyAlignment="1" applyProtection="1">
      <alignment horizont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57">
    <cellStyle name="Hipervínculo" xfId="31" builtinId="8" hidden="1"/>
    <cellStyle name="Hipervínculo" xfId="25" builtinId="8" hidden="1"/>
    <cellStyle name="Hipervínculo" xfId="23" builtinId="8" hidden="1"/>
    <cellStyle name="Hipervínculo" xfId="35" builtinId="8" hidden="1"/>
    <cellStyle name="Hipervínculo" xfId="9" builtinId="8" hidden="1"/>
    <cellStyle name="Hipervínculo" xfId="7" builtinId="8" hidden="1"/>
    <cellStyle name="Hipervínculo" xfId="21" builtinId="8" hidden="1"/>
    <cellStyle name="Hipervínculo" xfId="11" builtinId="8" hidden="1"/>
    <cellStyle name="Hipervínculo" xfId="17" builtinId="8" hidden="1"/>
    <cellStyle name="Hipervínculo" xfId="15" builtinId="8" hidden="1"/>
    <cellStyle name="Hipervínculo" xfId="53" builtinId="8" hidden="1"/>
    <cellStyle name="Hipervínculo" xfId="37" builtinId="8" hidden="1"/>
    <cellStyle name="Hipervínculo" xfId="51" builtinId="8" hidden="1"/>
    <cellStyle name="Hipervínculo" xfId="55" builtinId="8" hidden="1"/>
    <cellStyle name="Hipervínculo" xfId="13" builtinId="8" hidden="1"/>
    <cellStyle name="Hipervínculo" xfId="29" builtinId="8" hidden="1"/>
    <cellStyle name="Hipervínculo" xfId="39" builtinId="8" hidden="1"/>
    <cellStyle name="Hipervínculo" xfId="27" builtinId="8" hidden="1"/>
    <cellStyle name="Hipervínculo" xfId="45" builtinId="8" hidden="1"/>
    <cellStyle name="Hipervínculo" xfId="4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33" builtinId="8" hidden="1"/>
    <cellStyle name="Hipervínculo" xfId="3" builtinId="8" hidden="1"/>
    <cellStyle name="Hipervínculo" xfId="19" builtinId="8" hidden="1"/>
    <cellStyle name="Hipervínculo" xfId="1" builtinId="8" hidden="1"/>
    <cellStyle name="Hipervínculo" xfId="5" builtinId="8" hidden="1"/>
    <cellStyle name="Hipervínculo visitado" xfId="8" builtinId="9" hidden="1"/>
    <cellStyle name="Hipervínculo visitado" xfId="2" builtinId="9" hidden="1"/>
    <cellStyle name="Hipervínculo visitado" xfId="14" builtinId="9" hidden="1"/>
    <cellStyle name="Hipervínculo visitado" xfId="4" builtinId="9" hidden="1"/>
    <cellStyle name="Hipervínculo visitado" xfId="12" builtinId="9" hidden="1"/>
    <cellStyle name="Hipervínculo visitado" xfId="10" builtinId="9" hidden="1"/>
    <cellStyle name="Hipervínculo visitado" xfId="16" builtinId="9" hidden="1"/>
    <cellStyle name="Hipervínculo visitado" xfId="6" builtinId="9" hidden="1"/>
    <cellStyle name="Hipervínculo visitado" xfId="24" builtinId="9" hidden="1"/>
    <cellStyle name="Hipervínculo visitado" xfId="18" builtinId="9" hidden="1"/>
    <cellStyle name="Hipervínculo visitado" xfId="26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40" builtinId="9" hidden="1"/>
    <cellStyle name="Hipervínculo visitado" xfId="22" builtinId="9" hidden="1"/>
    <cellStyle name="Hipervínculo visitado" xfId="28" builtinId="9" hidden="1"/>
    <cellStyle name="Hipervínculo visitado" xfId="38" builtinId="9" hidden="1"/>
    <cellStyle name="Hipervínculo visitado" xfId="20" builtinId="9" hidden="1"/>
    <cellStyle name="Hipervínculo visitado" xfId="50" builtinId="9" hidden="1"/>
    <cellStyle name="Hipervínculo visitado" xfId="48" builtinId="9" hidden="1"/>
    <cellStyle name="Hipervínculo visitado" xfId="42" builtinId="9" hidden="1"/>
    <cellStyle name="Hipervínculo visitado" xfId="46" builtinId="9" hidden="1"/>
    <cellStyle name="Hipervínculo visitado" xfId="56" builtinId="9" hidden="1"/>
    <cellStyle name="Hipervínculo visitado" xfId="44" builtinId="9" hidden="1"/>
    <cellStyle name="Hipervínculo visitado" xfId="54" builtinId="9" hidden="1"/>
    <cellStyle name="Hipervínculo visitado" xfId="52" builtinId="9" hidden="1"/>
    <cellStyle name="Normal" xfId="0" builtinId="0"/>
  </cellStyles>
  <dxfs count="1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ill>
        <patternFill>
          <bgColor rgb="FF00B050"/>
        </patternFill>
      </fill>
    </dxf>
    <dxf>
      <fill>
        <patternFill>
          <bgColor rgb="FF00CC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66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92D050"/>
        </patternFill>
      </fill>
    </dxf>
    <dxf>
      <font>
        <color auto="1"/>
      </font>
      <fill>
        <patternFill>
          <bgColor rgb="FF33CC33"/>
        </patternFill>
      </fill>
    </dxf>
  </dxfs>
  <tableStyles count="0" defaultTableStyle="TableStyleMedium2" defaultPivotStyle="PivotStyleLight16"/>
  <colors>
    <mruColors>
      <color rgb="FF1256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142745</xdr:rowOff>
    </xdr:from>
    <xdr:to>
      <xdr:col>3</xdr:col>
      <xdr:colOff>1005417</xdr:colOff>
      <xdr:row>4</xdr:row>
      <xdr:rowOff>9185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48F1699-F58B-DECE-D442-1E7923A18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667" y="142745"/>
          <a:ext cx="1947333" cy="624207"/>
        </a:xfrm>
        <a:prstGeom prst="rect">
          <a:avLst/>
        </a:prstGeom>
      </xdr:spPr>
    </xdr:pic>
    <xdr:clientData/>
  </xdr:twoCellAnchor>
  <xdr:twoCellAnchor editAs="oneCell">
    <xdr:from>
      <xdr:col>13</xdr:col>
      <xdr:colOff>518583</xdr:colOff>
      <xdr:row>0</xdr:row>
      <xdr:rowOff>0</xdr:rowOff>
    </xdr:from>
    <xdr:to>
      <xdr:col>15</xdr:col>
      <xdr:colOff>158750</xdr:colOff>
      <xdr:row>4</xdr:row>
      <xdr:rowOff>178884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8834623-7AFD-606F-DB72-7172A2CDF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66000" y="0"/>
          <a:ext cx="1894417" cy="9451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7"/>
  <sheetViews>
    <sheetView tabSelected="1" zoomScale="60" zoomScaleNormal="60" zoomScaleSheetLayoutView="70" zoomScalePageLayoutView="70" workbookViewId="0">
      <selection activeCell="N16" sqref="N16"/>
    </sheetView>
  </sheetViews>
  <sheetFormatPr defaultColWidth="10.85546875" defaultRowHeight="14.25" customHeight="1"/>
  <cols>
    <col min="1" max="1" width="3.140625" style="3" customWidth="1"/>
    <col min="2" max="2" width="4.5703125" style="3" bestFit="1" customWidth="1"/>
    <col min="3" max="3" width="9" style="3" bestFit="1" customWidth="1"/>
    <col min="4" max="4" width="15.28515625" style="3" customWidth="1"/>
    <col min="5" max="5" width="20.42578125" style="3" customWidth="1"/>
    <col min="6" max="6" width="17.140625" style="3" customWidth="1"/>
    <col min="7" max="7" width="14" style="3" customWidth="1"/>
    <col min="8" max="8" width="10.28515625" style="3" bestFit="1" customWidth="1"/>
    <col min="9" max="9" width="12.7109375" style="3" customWidth="1"/>
    <col min="10" max="10" width="40.140625" style="3" customWidth="1"/>
    <col min="11" max="11" width="38.85546875" style="3" customWidth="1"/>
    <col min="12" max="12" width="43.7109375" style="3" customWidth="1"/>
    <col min="13" max="13" width="12" style="3" customWidth="1"/>
    <col min="14" max="14" width="16.28515625" style="3" customWidth="1"/>
    <col min="15" max="15" width="15.85546875" style="3" customWidth="1"/>
    <col min="16" max="16" width="8.85546875" style="3" customWidth="1"/>
    <col min="17" max="17" width="10.85546875" style="14"/>
    <col min="18" max="18" width="16.85546875" style="14" customWidth="1"/>
    <col min="19" max="37" width="10.85546875" style="1"/>
    <col min="38" max="16384" width="10.85546875" style="3"/>
  </cols>
  <sheetData>
    <row r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</row>
    <row r="2" spans="1:18">
      <c r="A2" s="1"/>
      <c r="B2" s="67" t="s">
        <v>0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1"/>
      <c r="Q2" s="2"/>
      <c r="R2" s="2"/>
    </row>
    <row r="3" spans="1:18">
      <c r="A3" s="1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1"/>
      <c r="Q3" s="2"/>
      <c r="R3" s="2"/>
    </row>
    <row r="4" spans="1:18">
      <c r="A4" s="1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"/>
      <c r="Q4" s="2"/>
      <c r="R4" s="2"/>
    </row>
    <row r="5" spans="1:1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"/>
      <c r="R5" s="2"/>
    </row>
    <row r="6" spans="1:18" ht="12" customHeight="1">
      <c r="A6" s="1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"/>
      <c r="Q6" s="2"/>
      <c r="R6" s="2"/>
    </row>
    <row r="7" spans="1:18" ht="5.6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"/>
      <c r="R7" s="2"/>
    </row>
    <row r="8" spans="1:18" ht="15.75">
      <c r="A8" s="1"/>
      <c r="B8" s="70" t="s">
        <v>1</v>
      </c>
      <c r="C8" s="71"/>
      <c r="D8" s="76"/>
      <c r="E8" s="77"/>
      <c r="F8" s="78"/>
      <c r="G8" s="41" t="s">
        <v>2</v>
      </c>
      <c r="H8" s="42"/>
      <c r="I8" s="79"/>
      <c r="J8" s="80"/>
      <c r="K8" s="40"/>
      <c r="L8" s="40"/>
      <c r="M8" s="41" t="s">
        <v>3</v>
      </c>
      <c r="N8" s="74"/>
      <c r="O8" s="75"/>
      <c r="P8" s="1"/>
      <c r="Q8" s="68" t="s">
        <v>4</v>
      </c>
      <c r="R8" s="69"/>
    </row>
    <row r="9" spans="1:18" ht="5.65" customHeight="1">
      <c r="A9" s="1"/>
      <c r="B9" s="1"/>
      <c r="C9" s="1"/>
      <c r="D9" s="1"/>
      <c r="E9" s="1"/>
      <c r="F9" s="1"/>
      <c r="G9" s="1"/>
      <c r="H9" s="1"/>
      <c r="I9" s="1"/>
      <c r="J9" s="4"/>
      <c r="K9" s="4"/>
      <c r="L9" s="4"/>
      <c r="M9" s="4"/>
      <c r="N9" s="4"/>
      <c r="O9" s="4"/>
      <c r="P9" s="4"/>
      <c r="Q9" s="2"/>
      <c r="R9" s="2"/>
    </row>
    <row r="10" spans="1:18" ht="4.5" customHeight="1">
      <c r="A10" s="1"/>
      <c r="B10" s="1"/>
      <c r="C10" s="1"/>
      <c r="D10" s="1"/>
      <c r="E10" s="1"/>
      <c r="F10" s="1"/>
      <c r="G10" s="1"/>
      <c r="H10" s="1"/>
      <c r="I10" s="1"/>
      <c r="J10" s="4"/>
      <c r="K10" s="4"/>
      <c r="L10" s="4"/>
      <c r="M10" s="1"/>
      <c r="N10" s="1"/>
      <c r="O10" s="1"/>
      <c r="P10" s="1"/>
      <c r="Q10" s="5"/>
      <c r="R10" s="5"/>
    </row>
    <row r="11" spans="1:18" ht="45">
      <c r="A11" s="1"/>
      <c r="B11" s="15" t="s">
        <v>5</v>
      </c>
      <c r="C11" s="16" t="s">
        <v>6</v>
      </c>
      <c r="D11" s="17" t="s">
        <v>7</v>
      </c>
      <c r="E11" s="16" t="s">
        <v>8</v>
      </c>
      <c r="F11" s="16" t="s">
        <v>9</v>
      </c>
      <c r="G11" s="17" t="s">
        <v>10</v>
      </c>
      <c r="H11" s="17" t="s">
        <v>11</v>
      </c>
      <c r="I11" s="17" t="s">
        <v>12</v>
      </c>
      <c r="J11" s="16" t="s">
        <v>13</v>
      </c>
      <c r="K11" s="16" t="s">
        <v>14</v>
      </c>
      <c r="L11" s="16" t="s">
        <v>15</v>
      </c>
      <c r="M11" s="16" t="s">
        <v>16</v>
      </c>
      <c r="N11" s="16" t="s">
        <v>17</v>
      </c>
      <c r="O11" s="18" t="s">
        <v>18</v>
      </c>
      <c r="P11" s="1"/>
      <c r="Q11" s="68" t="s">
        <v>16</v>
      </c>
      <c r="R11" s="69"/>
    </row>
    <row r="12" spans="1:18" ht="15">
      <c r="A12" s="1"/>
      <c r="B12" s="22">
        <v>1</v>
      </c>
      <c r="C12" s="21"/>
      <c r="D12" s="21"/>
      <c r="E12" s="21"/>
      <c r="F12" s="21"/>
      <c r="G12" s="25"/>
      <c r="H12" s="25"/>
      <c r="I12" s="21"/>
      <c r="J12" s="28"/>
      <c r="K12" s="28"/>
      <c r="L12" s="28"/>
      <c r="M12" s="29" t="s">
        <v>19</v>
      </c>
      <c r="N12" s="26" t="s">
        <v>20</v>
      </c>
      <c r="O12" s="27">
        <f>R13*R22</f>
        <v>0.09</v>
      </c>
      <c r="P12" s="1"/>
      <c r="Q12" s="6" t="s">
        <v>21</v>
      </c>
      <c r="R12" s="7">
        <v>0.1</v>
      </c>
    </row>
    <row r="13" spans="1:18" ht="15">
      <c r="A13" s="1"/>
      <c r="B13" s="22">
        <v>2</v>
      </c>
      <c r="C13" s="21"/>
      <c r="D13" s="21"/>
      <c r="E13" s="21"/>
      <c r="F13" s="21"/>
      <c r="G13" s="25"/>
      <c r="H13" s="25"/>
      <c r="I13" s="21"/>
      <c r="J13" s="28"/>
      <c r="K13" s="28"/>
      <c r="L13" s="28"/>
      <c r="M13" s="29" t="s">
        <v>22</v>
      </c>
      <c r="N13" s="26" t="s">
        <v>20</v>
      </c>
      <c r="O13" s="27">
        <f>R13*R22</f>
        <v>0.09</v>
      </c>
      <c r="P13" s="1"/>
      <c r="Q13" s="8" t="s">
        <v>19</v>
      </c>
      <c r="R13" s="9">
        <v>0.3</v>
      </c>
    </row>
    <row r="14" spans="1:18" ht="15">
      <c r="A14" s="1"/>
      <c r="B14" s="22">
        <v>3</v>
      </c>
      <c r="C14" s="21"/>
      <c r="D14" s="21"/>
      <c r="E14" s="21"/>
      <c r="F14" s="21"/>
      <c r="G14" s="25"/>
      <c r="H14" s="25"/>
      <c r="I14" s="21"/>
      <c r="J14" s="28"/>
      <c r="K14" s="28"/>
      <c r="L14" s="28"/>
      <c r="M14" s="29" t="s">
        <v>23</v>
      </c>
      <c r="N14" s="26" t="s">
        <v>20</v>
      </c>
      <c r="O14" s="27">
        <f>R15*R20</f>
        <v>1.3299999999999998</v>
      </c>
      <c r="P14" s="1"/>
      <c r="Q14" s="8" t="s">
        <v>22</v>
      </c>
      <c r="R14" s="10">
        <v>0.5</v>
      </c>
    </row>
    <row r="15" spans="1:18" ht="16.899999999999999" customHeight="1">
      <c r="A15" s="1"/>
      <c r="B15" s="22">
        <v>4</v>
      </c>
      <c r="C15" s="21"/>
      <c r="D15" s="21"/>
      <c r="E15" s="21"/>
      <c r="F15" s="21"/>
      <c r="G15" s="25"/>
      <c r="H15" s="25"/>
      <c r="I15" s="21"/>
      <c r="J15" s="28"/>
      <c r="K15" s="28"/>
      <c r="L15" s="28"/>
      <c r="M15" s="29" t="s">
        <v>22</v>
      </c>
      <c r="N15" s="26" t="s">
        <v>20</v>
      </c>
      <c r="O15" s="27">
        <f>R14*R20</f>
        <v>0.95</v>
      </c>
      <c r="P15" s="1"/>
      <c r="Q15" s="8" t="s">
        <v>23</v>
      </c>
      <c r="R15" s="11">
        <v>0.7</v>
      </c>
    </row>
    <row r="16" spans="1:18" ht="17.649999999999999" customHeight="1">
      <c r="A16" s="1"/>
      <c r="B16" s="22">
        <v>5</v>
      </c>
      <c r="C16" s="21"/>
      <c r="D16" s="21"/>
      <c r="E16" s="21"/>
      <c r="F16" s="21"/>
      <c r="G16" s="25"/>
      <c r="H16" s="25"/>
      <c r="I16" s="21"/>
      <c r="J16" s="28"/>
      <c r="K16" s="28"/>
      <c r="L16" s="28"/>
      <c r="M16" s="29" t="s">
        <v>22</v>
      </c>
      <c r="N16" s="26" t="s">
        <v>20</v>
      </c>
      <c r="O16" s="27">
        <f>R14*R20</f>
        <v>0.95</v>
      </c>
      <c r="P16" s="1"/>
      <c r="Q16" s="12" t="s">
        <v>24</v>
      </c>
      <c r="R16" s="13">
        <v>0.9</v>
      </c>
    </row>
    <row r="17" spans="1:20" ht="15">
      <c r="A17" s="1"/>
      <c r="B17" s="22">
        <v>6</v>
      </c>
      <c r="C17" s="21"/>
      <c r="D17" s="21"/>
      <c r="E17" s="21"/>
      <c r="F17" s="21"/>
      <c r="G17" s="25"/>
      <c r="H17" s="25"/>
      <c r="I17" s="21"/>
      <c r="J17" s="28"/>
      <c r="K17" s="28"/>
      <c r="L17" s="28"/>
      <c r="M17" s="29" t="s">
        <v>22</v>
      </c>
      <c r="N17" s="26" t="s">
        <v>20</v>
      </c>
      <c r="O17" s="27">
        <f>R14*R20</f>
        <v>0.95</v>
      </c>
      <c r="P17" s="1"/>
      <c r="Q17" s="3"/>
      <c r="R17" s="3"/>
    </row>
    <row r="18" spans="1:20" ht="15.75">
      <c r="A18" s="1"/>
      <c r="B18" s="22">
        <v>7</v>
      </c>
      <c r="C18" s="21"/>
      <c r="D18" s="21"/>
      <c r="E18" s="21"/>
      <c r="F18" s="21"/>
      <c r="G18" s="25"/>
      <c r="H18" s="25"/>
      <c r="I18" s="21"/>
      <c r="J18" s="28"/>
      <c r="K18" s="28"/>
      <c r="L18" s="28"/>
      <c r="M18" s="29" t="s">
        <v>22</v>
      </c>
      <c r="N18" s="26" t="s">
        <v>20</v>
      </c>
      <c r="O18" s="27">
        <f>R14*R20</f>
        <v>0.95</v>
      </c>
      <c r="P18" s="1"/>
      <c r="Q18" s="72" t="s">
        <v>17</v>
      </c>
      <c r="R18" s="73"/>
    </row>
    <row r="19" spans="1:20" ht="15">
      <c r="A19" s="1"/>
      <c r="B19" s="22">
        <v>8</v>
      </c>
      <c r="C19" s="21"/>
      <c r="D19" s="21"/>
      <c r="E19" s="21"/>
      <c r="F19" s="21"/>
      <c r="G19" s="25"/>
      <c r="H19" s="25"/>
      <c r="I19" s="21"/>
      <c r="J19" s="28"/>
      <c r="K19" s="28"/>
      <c r="L19" s="28"/>
      <c r="M19" s="29" t="s">
        <v>24</v>
      </c>
      <c r="N19" s="26" t="s">
        <v>25</v>
      </c>
      <c r="O19" s="27">
        <f>R16*R19</f>
        <v>0.81</v>
      </c>
      <c r="P19" s="1"/>
      <c r="Q19" s="8" t="s">
        <v>26</v>
      </c>
      <c r="R19" s="30">
        <v>0.9</v>
      </c>
    </row>
    <row r="20" spans="1:20" ht="15">
      <c r="A20" s="1"/>
      <c r="B20" s="22">
        <v>9</v>
      </c>
      <c r="C20" s="21"/>
      <c r="D20" s="21"/>
      <c r="E20" s="21"/>
      <c r="F20" s="21"/>
      <c r="G20" s="25"/>
      <c r="H20" s="25"/>
      <c r="I20" s="21"/>
      <c r="J20" s="28"/>
      <c r="K20" s="28"/>
      <c r="L20" s="28"/>
      <c r="M20" s="29" t="s">
        <v>24</v>
      </c>
      <c r="N20" s="26" t="s">
        <v>25</v>
      </c>
      <c r="O20" s="27">
        <f>R16*R19</f>
        <v>0.81</v>
      </c>
      <c r="P20" s="1"/>
      <c r="Q20" s="8" t="s">
        <v>25</v>
      </c>
      <c r="R20" s="66">
        <v>1.9</v>
      </c>
    </row>
    <row r="21" spans="1:20" ht="15">
      <c r="A21" s="1"/>
      <c r="B21" s="22">
        <v>10</v>
      </c>
      <c r="C21" s="21"/>
      <c r="D21" s="21"/>
      <c r="E21" s="21"/>
      <c r="F21" s="21"/>
      <c r="G21" s="25"/>
      <c r="H21" s="25"/>
      <c r="I21" s="21"/>
      <c r="J21" s="28"/>
      <c r="K21" s="28"/>
      <c r="L21" s="28"/>
      <c r="M21" s="29" t="s">
        <v>19</v>
      </c>
      <c r="N21" s="26" t="s">
        <v>20</v>
      </c>
      <c r="O21" s="27">
        <f>R13*R20</f>
        <v>0.56999999999999995</v>
      </c>
      <c r="P21" s="1"/>
      <c r="Q21" s="8" t="s">
        <v>27</v>
      </c>
      <c r="R21" s="10">
        <v>1</v>
      </c>
    </row>
    <row r="22" spans="1:20" ht="15">
      <c r="A22" s="1"/>
      <c r="B22" s="22">
        <v>11</v>
      </c>
      <c r="C22" s="21"/>
      <c r="D22" s="21"/>
      <c r="E22" s="21"/>
      <c r="F22" s="21"/>
      <c r="G22" s="25"/>
      <c r="H22" s="25"/>
      <c r="I22" s="21"/>
      <c r="J22" s="28"/>
      <c r="K22" s="28"/>
      <c r="L22" s="28"/>
      <c r="M22" s="29" t="s">
        <v>24</v>
      </c>
      <c r="N22" s="26" t="s">
        <v>25</v>
      </c>
      <c r="O22" s="27">
        <f>R16*R19</f>
        <v>0.81</v>
      </c>
      <c r="P22" s="1"/>
      <c r="Q22" s="31" t="s">
        <v>28</v>
      </c>
      <c r="R22" s="32">
        <v>0.3</v>
      </c>
    </row>
    <row r="23" spans="1:20" ht="15">
      <c r="A23" s="1"/>
      <c r="B23" s="22">
        <v>12</v>
      </c>
      <c r="C23" s="21"/>
      <c r="D23" s="21"/>
      <c r="E23" s="21"/>
      <c r="F23" s="21"/>
      <c r="G23" s="25"/>
      <c r="H23" s="25"/>
      <c r="I23" s="21"/>
      <c r="J23" s="28"/>
      <c r="K23" s="28"/>
      <c r="L23" s="28"/>
      <c r="M23" s="29" t="s">
        <v>23</v>
      </c>
      <c r="N23" s="26" t="s">
        <v>20</v>
      </c>
      <c r="O23" s="27">
        <f>R12*R22</f>
        <v>0.03</v>
      </c>
      <c r="P23" s="1"/>
      <c r="Q23" s="3"/>
      <c r="R23" s="3"/>
    </row>
    <row r="24" spans="1:20" ht="15.75">
      <c r="A24" s="1"/>
      <c r="B24" s="22">
        <v>13</v>
      </c>
      <c r="C24" s="21"/>
      <c r="D24" s="21"/>
      <c r="E24" s="21"/>
      <c r="F24" s="21"/>
      <c r="G24" s="25"/>
      <c r="H24" s="25"/>
      <c r="I24" s="21"/>
      <c r="J24" s="28"/>
      <c r="K24" s="28"/>
      <c r="L24" s="28"/>
      <c r="M24" s="29" t="s">
        <v>23</v>
      </c>
      <c r="N24" s="26" t="s">
        <v>20</v>
      </c>
      <c r="O24" s="27">
        <f>R12*R22</f>
        <v>0.03</v>
      </c>
      <c r="P24" s="1"/>
      <c r="Q24" s="64" t="s">
        <v>29</v>
      </c>
      <c r="R24" s="65"/>
    </row>
    <row r="25" spans="1:20" ht="15">
      <c r="A25" s="1"/>
      <c r="B25" s="22">
        <v>14</v>
      </c>
      <c r="C25" s="21"/>
      <c r="D25" s="21"/>
      <c r="E25" s="21"/>
      <c r="F25" s="21"/>
      <c r="G25" s="25"/>
      <c r="H25" s="25"/>
      <c r="I25" s="21"/>
      <c r="J25" s="28"/>
      <c r="K25" s="28"/>
      <c r="L25" s="28"/>
      <c r="M25" s="29" t="s">
        <v>23</v>
      </c>
      <c r="N25" s="26" t="s">
        <v>20</v>
      </c>
      <c r="O25" s="27">
        <f>R12*R22</f>
        <v>0.03</v>
      </c>
      <c r="P25" s="1"/>
      <c r="Q25" s="33" t="s">
        <v>28</v>
      </c>
      <c r="R25" s="34" t="s">
        <v>30</v>
      </c>
    </row>
    <row r="26" spans="1:20" ht="15">
      <c r="A26" s="1"/>
      <c r="B26" s="22">
        <v>15</v>
      </c>
      <c r="C26" s="21"/>
      <c r="D26" s="21"/>
      <c r="E26" s="21"/>
      <c r="F26" s="21"/>
      <c r="G26" s="25"/>
      <c r="H26" s="25"/>
      <c r="I26" s="21"/>
      <c r="J26" s="28"/>
      <c r="K26" s="28"/>
      <c r="L26" s="28"/>
      <c r="M26" s="29" t="s">
        <v>19</v>
      </c>
      <c r="N26" s="26" t="s">
        <v>28</v>
      </c>
      <c r="O26" s="27">
        <f>R13*R22</f>
        <v>0.09</v>
      </c>
      <c r="P26" s="1"/>
      <c r="Q26" s="35" t="s">
        <v>20</v>
      </c>
      <c r="R26" s="36" t="s">
        <v>31</v>
      </c>
      <c r="S26" s="20"/>
      <c r="T26" s="20"/>
    </row>
    <row r="27" spans="1:20" ht="15">
      <c r="A27" s="1"/>
      <c r="B27" s="22">
        <v>16</v>
      </c>
      <c r="C27" s="21"/>
      <c r="D27" s="21"/>
      <c r="E27" s="21"/>
      <c r="F27" s="21"/>
      <c r="G27" s="25"/>
      <c r="H27" s="25"/>
      <c r="I27" s="21"/>
      <c r="J27" s="28"/>
      <c r="K27" s="28"/>
      <c r="L27" s="28"/>
      <c r="M27" s="29" t="s">
        <v>19</v>
      </c>
      <c r="N27" s="26" t="s">
        <v>28</v>
      </c>
      <c r="O27" s="27">
        <f>R13*R22</f>
        <v>0.09</v>
      </c>
      <c r="P27" s="1"/>
      <c r="Q27" s="37" t="s">
        <v>25</v>
      </c>
      <c r="R27" s="38" t="s">
        <v>32</v>
      </c>
      <c r="S27" s="20"/>
      <c r="T27" s="20"/>
    </row>
    <row r="28" spans="1:20" ht="15">
      <c r="A28" s="1"/>
      <c r="B28" s="22">
        <v>18</v>
      </c>
      <c r="C28" s="21"/>
      <c r="D28" s="21"/>
      <c r="E28" s="21"/>
      <c r="F28" s="21"/>
      <c r="G28" s="25"/>
      <c r="H28" s="25"/>
      <c r="I28" s="21"/>
      <c r="J28" s="28"/>
      <c r="K28" s="28"/>
      <c r="L28" s="28"/>
      <c r="M28" s="29" t="s">
        <v>23</v>
      </c>
      <c r="N28" s="26" t="s">
        <v>20</v>
      </c>
      <c r="O28" s="27">
        <f>R15*R20</f>
        <v>1.3299999999999998</v>
      </c>
      <c r="P28" s="1"/>
      <c r="Q28" s="3"/>
      <c r="R28" s="3"/>
      <c r="S28" s="20"/>
      <c r="T28" s="20"/>
    </row>
    <row r="29" spans="1:20" ht="15">
      <c r="A29" s="1"/>
      <c r="B29" s="22">
        <v>19</v>
      </c>
      <c r="C29" s="21"/>
      <c r="D29" s="21"/>
      <c r="E29" s="21"/>
      <c r="F29" s="21"/>
      <c r="G29" s="25"/>
      <c r="H29" s="25"/>
      <c r="I29" s="21"/>
      <c r="J29" s="28"/>
      <c r="K29" s="28"/>
      <c r="L29" s="28"/>
      <c r="M29" s="29" t="s">
        <v>22</v>
      </c>
      <c r="N29" s="26" t="s">
        <v>28</v>
      </c>
      <c r="O29" s="27">
        <f>R14*R22</f>
        <v>0.15</v>
      </c>
      <c r="P29" s="1"/>
      <c r="Q29" s="3"/>
      <c r="R29" s="3"/>
      <c r="S29" s="20"/>
      <c r="T29" s="20"/>
    </row>
    <row r="30" spans="1:20" ht="15">
      <c r="A30" s="1"/>
      <c r="B30" s="22">
        <v>21</v>
      </c>
      <c r="C30" s="21"/>
      <c r="D30" s="21"/>
      <c r="E30" s="21"/>
      <c r="F30" s="21"/>
      <c r="G30" s="25"/>
      <c r="H30" s="25"/>
      <c r="I30" s="21"/>
      <c r="J30" s="28"/>
      <c r="K30" s="28"/>
      <c r="L30" s="28"/>
      <c r="M30" s="29" t="s">
        <v>22</v>
      </c>
      <c r="N30" s="26" t="s">
        <v>20</v>
      </c>
      <c r="O30" s="27">
        <f>R14*R20</f>
        <v>0.95</v>
      </c>
      <c r="P30" s="1"/>
      <c r="Q30" s="3"/>
      <c r="R30" s="3"/>
      <c r="S30" s="20"/>
      <c r="T30" s="20"/>
    </row>
    <row r="31" spans="1:20" ht="15">
      <c r="A31" s="1"/>
      <c r="B31" s="57"/>
      <c r="C31" s="58"/>
      <c r="D31" s="39"/>
      <c r="E31" s="39"/>
      <c r="F31" s="39"/>
      <c r="G31" s="59"/>
      <c r="H31" s="59"/>
      <c r="I31" s="39"/>
      <c r="J31" s="60"/>
      <c r="K31" s="60"/>
      <c r="L31" s="61"/>
      <c r="M31" s="62"/>
      <c r="N31" s="63"/>
      <c r="O31" s="27"/>
      <c r="P31" s="1"/>
      <c r="Q31" s="3"/>
      <c r="R31" s="3"/>
      <c r="S31" s="20"/>
      <c r="T31" s="20"/>
    </row>
    <row r="32" spans="1:20" ht="15">
      <c r="A32" s="1"/>
      <c r="B32" s="57"/>
      <c r="C32" s="58"/>
      <c r="D32" s="39"/>
      <c r="E32" s="39"/>
      <c r="F32" s="39"/>
      <c r="G32" s="59"/>
      <c r="H32" s="59"/>
      <c r="I32" s="39"/>
      <c r="J32" s="60"/>
      <c r="K32" s="60"/>
      <c r="L32" s="61"/>
      <c r="M32" s="62"/>
      <c r="N32" s="63"/>
      <c r="O32" s="27"/>
      <c r="P32" s="1"/>
      <c r="Q32" s="3"/>
      <c r="R32" s="3"/>
      <c r="S32" s="20"/>
      <c r="T32" s="20"/>
    </row>
    <row r="33" spans="1:20" ht="15">
      <c r="A33" s="1"/>
      <c r="B33" s="57"/>
      <c r="C33" s="58"/>
      <c r="D33" s="39"/>
      <c r="E33" s="39"/>
      <c r="F33" s="39"/>
      <c r="G33" s="59"/>
      <c r="H33" s="59"/>
      <c r="I33" s="39"/>
      <c r="J33" s="60"/>
      <c r="K33" s="60"/>
      <c r="L33" s="61"/>
      <c r="M33" s="62"/>
      <c r="N33" s="63"/>
      <c r="O33" s="27"/>
      <c r="P33" s="1"/>
      <c r="Q33" s="3"/>
      <c r="R33" s="3"/>
      <c r="S33" s="20"/>
      <c r="T33" s="20"/>
    </row>
    <row r="34" spans="1:20" ht="15">
      <c r="A34" s="1"/>
      <c r="B34" s="57"/>
      <c r="C34" s="58"/>
      <c r="D34" s="39"/>
      <c r="E34" s="39"/>
      <c r="F34" s="39"/>
      <c r="G34" s="59"/>
      <c r="H34" s="59"/>
      <c r="I34" s="39"/>
      <c r="J34" s="60"/>
      <c r="K34" s="60"/>
      <c r="L34" s="61"/>
      <c r="M34" s="62"/>
      <c r="N34" s="63"/>
      <c r="O34" s="27"/>
      <c r="P34" s="1"/>
      <c r="Q34" s="3"/>
      <c r="R34" s="3"/>
      <c r="S34" s="20"/>
      <c r="T34" s="20"/>
    </row>
    <row r="35" spans="1:20" ht="15">
      <c r="A35" s="1"/>
      <c r="B35" s="57"/>
      <c r="C35" s="58"/>
      <c r="D35" s="39"/>
      <c r="E35" s="39"/>
      <c r="F35" s="39"/>
      <c r="G35" s="59"/>
      <c r="H35" s="59"/>
      <c r="I35" s="39"/>
      <c r="J35" s="60"/>
      <c r="K35" s="60"/>
      <c r="L35" s="61"/>
      <c r="M35" s="62"/>
      <c r="N35" s="63"/>
      <c r="O35" s="27"/>
      <c r="P35" s="1"/>
      <c r="Q35" s="3"/>
      <c r="R35" s="3"/>
      <c r="S35" s="20"/>
      <c r="T35" s="20"/>
    </row>
    <row r="36" spans="1:20" ht="15">
      <c r="A36" s="1"/>
      <c r="B36" s="57"/>
      <c r="C36" s="58"/>
      <c r="D36" s="39"/>
      <c r="E36" s="39"/>
      <c r="F36" s="39"/>
      <c r="G36" s="59"/>
      <c r="H36" s="59"/>
      <c r="I36" s="39"/>
      <c r="J36" s="60"/>
      <c r="K36" s="60"/>
      <c r="L36" s="61"/>
      <c r="M36" s="62"/>
      <c r="N36" s="63"/>
      <c r="O36" s="27"/>
      <c r="P36" s="1"/>
      <c r="Q36" s="3"/>
      <c r="R36" s="3"/>
      <c r="S36" s="20"/>
      <c r="T36" s="20"/>
    </row>
    <row r="37" spans="1:20" ht="15">
      <c r="A37" s="1"/>
      <c r="B37" s="57"/>
      <c r="C37" s="58"/>
      <c r="D37" s="39"/>
      <c r="E37" s="39"/>
      <c r="F37" s="39"/>
      <c r="G37" s="59"/>
      <c r="H37" s="59"/>
      <c r="I37" s="39"/>
      <c r="J37" s="60"/>
      <c r="K37" s="60"/>
      <c r="L37" s="61"/>
      <c r="M37" s="62"/>
      <c r="N37" s="63"/>
      <c r="O37" s="27"/>
      <c r="P37" s="1"/>
      <c r="Q37" s="3"/>
      <c r="R37" s="3"/>
      <c r="S37" s="20"/>
      <c r="T37" s="20"/>
    </row>
    <row r="38" spans="1:20" ht="33" customHeight="1">
      <c r="A38" s="1"/>
      <c r="B38" s="23"/>
      <c r="C38" s="43"/>
      <c r="D38" s="43"/>
      <c r="E38" s="44"/>
      <c r="F38" s="46"/>
      <c r="G38" s="45"/>
      <c r="H38" s="45"/>
      <c r="I38" s="43"/>
      <c r="J38" s="47"/>
      <c r="K38" s="47"/>
      <c r="L38" s="48"/>
      <c r="M38" s="24"/>
      <c r="N38" s="24"/>
      <c r="O38" s="27"/>
      <c r="P38" s="1"/>
      <c r="Q38" s="2"/>
      <c r="R38" s="2"/>
      <c r="S38" s="20"/>
      <c r="T38" s="20"/>
    </row>
    <row r="39" spans="1:20" ht="33" customHeight="1">
      <c r="A39" s="1"/>
      <c r="B39" s="49"/>
      <c r="C39" s="50"/>
      <c r="D39" s="50"/>
      <c r="E39" s="51"/>
      <c r="F39" s="52"/>
      <c r="G39" s="53"/>
      <c r="H39" s="53"/>
      <c r="I39" s="50"/>
      <c r="J39" s="54"/>
      <c r="K39" s="54"/>
      <c r="L39" s="55"/>
      <c r="M39" s="49"/>
      <c r="N39" s="49"/>
      <c r="O39" s="56"/>
      <c r="P39" s="1"/>
      <c r="Q39" s="2"/>
      <c r="R39" s="2"/>
      <c r="S39" s="20"/>
      <c r="T39" s="20"/>
    </row>
    <row r="40" spans="1:20" s="1" customFormat="1">
      <c r="O40" s="2"/>
    </row>
    <row r="41" spans="1:20" s="1" customFormat="1">
      <c r="O41" s="2"/>
    </row>
    <row r="42" spans="1:20" s="1" customFormat="1">
      <c r="O42" s="2"/>
    </row>
    <row r="43" spans="1:20" s="1" customFormat="1">
      <c r="O43" s="2"/>
    </row>
    <row r="44" spans="1:20" s="1" customFormat="1">
      <c r="O44" s="2"/>
    </row>
    <row r="45" spans="1:20" s="1" customFormat="1">
      <c r="O45" s="2"/>
    </row>
    <row r="46" spans="1:20" s="1" customFormat="1">
      <c r="O46" s="2"/>
    </row>
    <row r="47" spans="1:20" s="1" customFormat="1">
      <c r="O47" s="2"/>
    </row>
    <row r="48" spans="1:20" s="1" customFormat="1">
      <c r="O48" s="2"/>
    </row>
    <row r="49" spans="15:15" s="1" customFormat="1">
      <c r="O49" s="2"/>
    </row>
    <row r="50" spans="15:15" s="1" customFormat="1">
      <c r="O50" s="2"/>
    </row>
    <row r="51" spans="15:15" s="1" customFormat="1">
      <c r="O51" s="2"/>
    </row>
    <row r="52" spans="15:15" s="1" customFormat="1">
      <c r="O52" s="2"/>
    </row>
    <row r="53" spans="15:15" s="1" customFormat="1">
      <c r="O53" s="2"/>
    </row>
    <row r="54" spans="15:15" s="1" customFormat="1">
      <c r="O54" s="2"/>
    </row>
    <row r="55" spans="15:15" s="1" customFormat="1">
      <c r="O55" s="2"/>
    </row>
    <row r="56" spans="15:15" s="1" customFormat="1">
      <c r="O56" s="2"/>
    </row>
    <row r="57" spans="15:15" s="1" customFormat="1">
      <c r="O57" s="2"/>
    </row>
    <row r="58" spans="15:15" s="1" customFormat="1">
      <c r="O58" s="2"/>
    </row>
    <row r="59" spans="15:15" s="1" customFormat="1">
      <c r="O59" s="2"/>
    </row>
    <row r="60" spans="15:15" s="1" customFormat="1">
      <c r="O60" s="2"/>
    </row>
    <row r="61" spans="15:15" s="1" customFormat="1">
      <c r="O61" s="2"/>
    </row>
    <row r="62" spans="15:15" s="1" customFormat="1">
      <c r="O62" s="2"/>
    </row>
    <row r="63" spans="15:15" s="1" customFormat="1">
      <c r="O63" s="2"/>
    </row>
    <row r="64" spans="15:15" s="1" customFormat="1">
      <c r="O64" s="2"/>
    </row>
    <row r="65" spans="15:18" s="1" customFormat="1">
      <c r="O65" s="2"/>
    </row>
    <row r="66" spans="15:18" s="1" customFormat="1">
      <c r="O66" s="2"/>
    </row>
    <row r="67" spans="15:18" s="1" customFormat="1">
      <c r="O67" s="2"/>
    </row>
    <row r="68" spans="15:18" s="1" customFormat="1">
      <c r="O68" s="2"/>
    </row>
    <row r="69" spans="15:18" s="1" customFormat="1">
      <c r="O69" s="2"/>
    </row>
    <row r="70" spans="15:18" s="1" customFormat="1">
      <c r="O70" s="2"/>
    </row>
    <row r="71" spans="15:18" s="1" customFormat="1">
      <c r="O71" s="2"/>
    </row>
    <row r="72" spans="15:18" s="1" customFormat="1">
      <c r="O72" s="2"/>
    </row>
    <row r="73" spans="15:18" s="1" customFormat="1">
      <c r="O73" s="2"/>
    </row>
    <row r="74" spans="15:18">
      <c r="O74" s="14"/>
      <c r="Q74" s="3"/>
      <c r="R74" s="3"/>
    </row>
    <row r="75" spans="15:18">
      <c r="O75" s="14"/>
      <c r="Q75" s="3"/>
      <c r="R75" s="3"/>
    </row>
    <row r="76" spans="15:18">
      <c r="O76" s="14"/>
      <c r="Q76" s="3"/>
      <c r="R76" s="3"/>
    </row>
    <row r="77" spans="15:18">
      <c r="O77" s="14"/>
      <c r="Q77" s="3"/>
      <c r="R77" s="3"/>
    </row>
  </sheetData>
  <mergeCells count="8">
    <mergeCell ref="B2:O4"/>
    <mergeCell ref="Q11:R11"/>
    <mergeCell ref="B8:C8"/>
    <mergeCell ref="Q8:R8"/>
    <mergeCell ref="Q18:R18"/>
    <mergeCell ref="N8:O8"/>
    <mergeCell ref="D8:F8"/>
    <mergeCell ref="I8:J8"/>
  </mergeCells>
  <phoneticPr fontId="11" type="noConversion"/>
  <conditionalFormatting sqref="M12:M39">
    <cfRule type="cellIs" dxfId="15" priority="211" operator="equal">
      <formula>"Muy Bajo"</formula>
    </cfRule>
    <cfRule type="cellIs" dxfId="14" priority="212" operator="equal">
      <formula>"Bajo"</formula>
    </cfRule>
    <cfRule type="cellIs" dxfId="13" priority="213" operator="equal">
      <formula>"Moderado"</formula>
    </cfRule>
    <cfRule type="cellIs" dxfId="12" priority="214" operator="equal">
      <formula>"Alto"</formula>
    </cfRule>
    <cfRule type="cellIs" dxfId="11" priority="215" operator="equal">
      <formula>"Muy Alto"</formula>
    </cfRule>
  </conditionalFormatting>
  <conditionalFormatting sqref="N12 N14">
    <cfRule type="cellIs" dxfId="10" priority="346" operator="equal">
      <formula>"Baja"</formula>
    </cfRule>
    <cfRule type="cellIs" dxfId="9" priority="347" operator="equal">
      <formula>"Baja"</formula>
    </cfRule>
  </conditionalFormatting>
  <conditionalFormatting sqref="N12:N39">
    <cfRule type="cellIs" dxfId="8" priority="207" operator="equal">
      <formula>"Baja"</formula>
    </cfRule>
    <cfRule type="cellIs" dxfId="7" priority="208" operator="equal">
      <formula>"Baja"</formula>
    </cfRule>
    <cfRule type="cellIs" dxfId="6" priority="209" operator="equal">
      <formula>"Media"</formula>
    </cfRule>
    <cfRule type="cellIs" dxfId="5" priority="210" operator="equal">
      <formula>"Alta"</formula>
    </cfRule>
  </conditionalFormatting>
  <conditionalFormatting sqref="O12:O13">
    <cfRule type="iconSet" priority="451">
      <iconSet reverse="1">
        <cfvo type="percent" val="0"/>
        <cfvo type="num" val="0.2"/>
        <cfvo type="num" val="0.45"/>
      </iconSet>
    </cfRule>
    <cfRule type="iconSet" priority="452">
      <iconSet reverse="1">
        <cfvo type="percent" val="0"/>
        <cfvo type="percent" val="0.21"/>
        <cfvo type="num" val="0.45"/>
      </iconSet>
    </cfRule>
  </conditionalFormatting>
  <conditionalFormatting sqref="O15">
    <cfRule type="iconSet" priority="7">
      <iconSet reverse="1">
        <cfvo type="percent" val="0"/>
        <cfvo type="percent" val="0.21"/>
        <cfvo type="num" val="0.45"/>
      </iconSet>
    </cfRule>
    <cfRule type="iconSet" priority="8">
      <iconSet reverse="1">
        <cfvo type="percent" val="0"/>
        <cfvo type="num" val="0.2"/>
        <cfvo type="num" val="0.45"/>
      </iconSet>
    </cfRule>
  </conditionalFormatting>
  <conditionalFormatting sqref="O16">
    <cfRule type="iconSet" priority="150">
      <iconSet reverse="1">
        <cfvo type="percent" val="0"/>
        <cfvo type="percent" val="0.21"/>
        <cfvo type="num" val="0.45"/>
      </iconSet>
    </cfRule>
    <cfRule type="iconSet" priority="151">
      <iconSet reverse="1">
        <cfvo type="percent" val="0"/>
        <cfvo type="num" val="0.2"/>
        <cfvo type="num" val="0.45"/>
      </iconSet>
    </cfRule>
  </conditionalFormatting>
  <conditionalFormatting sqref="O17">
    <cfRule type="iconSet" priority="5">
      <iconSet reverse="1">
        <cfvo type="percent" val="0"/>
        <cfvo type="percent" val="0.21"/>
        <cfvo type="num" val="0.45"/>
      </iconSet>
    </cfRule>
    <cfRule type="iconSet" priority="6">
      <iconSet reverse="1">
        <cfvo type="percent" val="0"/>
        <cfvo type="num" val="0.2"/>
        <cfvo type="num" val="0.45"/>
      </iconSet>
    </cfRule>
  </conditionalFormatting>
  <conditionalFormatting sqref="O18">
    <cfRule type="iconSet" priority="117">
      <iconSet reverse="1">
        <cfvo type="percent" val="0"/>
        <cfvo type="percent" val="0.21"/>
        <cfvo type="num" val="0.45"/>
      </iconSet>
    </cfRule>
    <cfRule type="iconSet" priority="118">
      <iconSet reverse="1">
        <cfvo type="percent" val="0"/>
        <cfvo type="num" val="0.2"/>
        <cfvo type="num" val="0.45"/>
      </iconSet>
    </cfRule>
  </conditionalFormatting>
  <conditionalFormatting sqref="O19:O20">
    <cfRule type="iconSet" priority="3">
      <iconSet reverse="1">
        <cfvo type="percent" val="0"/>
        <cfvo type="percent" val="0.21"/>
        <cfvo type="num" val="0.45"/>
      </iconSet>
    </cfRule>
    <cfRule type="iconSet" priority="4">
      <iconSet reverse="1">
        <cfvo type="percent" val="0"/>
        <cfvo type="num" val="0.2"/>
        <cfvo type="num" val="0.45"/>
      </iconSet>
    </cfRule>
  </conditionalFormatting>
  <conditionalFormatting sqref="O21">
    <cfRule type="iconSet" priority="194">
      <iconSet reverse="1">
        <cfvo type="percent" val="0"/>
        <cfvo type="percent" val="0.21"/>
        <cfvo type="num" val="0.45"/>
      </iconSet>
    </cfRule>
    <cfRule type="iconSet" priority="195">
      <iconSet reverse="1">
        <cfvo type="percent" val="0"/>
        <cfvo type="num" val="0.2"/>
        <cfvo type="num" val="0.45"/>
      </iconSet>
    </cfRule>
  </conditionalFormatting>
  <conditionalFormatting sqref="O22">
    <cfRule type="iconSet" priority="1">
      <iconSet reverse="1">
        <cfvo type="percent" val="0"/>
        <cfvo type="percent" val="0.21"/>
        <cfvo type="num" val="0.45"/>
      </iconSet>
    </cfRule>
    <cfRule type="iconSet" priority="2">
      <iconSet reverse="1">
        <cfvo type="percent" val="0"/>
        <cfvo type="num" val="0.2"/>
        <cfvo type="num" val="0.45"/>
      </iconSet>
    </cfRule>
  </conditionalFormatting>
  <conditionalFormatting sqref="O23">
    <cfRule type="iconSet" priority="73">
      <iconSet reverse="1">
        <cfvo type="percent" val="0"/>
        <cfvo type="percent" val="0.21"/>
        <cfvo type="num" val="0.45"/>
      </iconSet>
    </cfRule>
    <cfRule type="iconSet" priority="74">
      <iconSet reverse="1">
        <cfvo type="percent" val="0"/>
        <cfvo type="num" val="0.2"/>
        <cfvo type="num" val="0.45"/>
      </iconSet>
    </cfRule>
  </conditionalFormatting>
  <conditionalFormatting sqref="O24">
    <cfRule type="iconSet" priority="106">
      <iconSet reverse="1">
        <cfvo type="percent" val="0"/>
        <cfvo type="percent" val="0.21"/>
        <cfvo type="num" val="0.45"/>
      </iconSet>
    </cfRule>
    <cfRule type="iconSet" priority="107">
      <iconSet reverse="1">
        <cfvo type="percent" val="0"/>
        <cfvo type="num" val="0.2"/>
        <cfvo type="num" val="0.45"/>
      </iconSet>
    </cfRule>
  </conditionalFormatting>
  <conditionalFormatting sqref="O25:O39 O14">
    <cfRule type="iconSet" priority="86">
      <iconSet reverse="1">
        <cfvo type="percent" val="0"/>
        <cfvo type="percent" val="0.21"/>
        <cfvo type="num" val="0.45"/>
      </iconSet>
    </cfRule>
    <cfRule type="iconSet" priority="87">
      <iconSet reverse="1">
        <cfvo type="percent" val="0"/>
        <cfvo type="num" val="0.2"/>
        <cfvo type="num" val="0.45"/>
      </iconSet>
    </cfRule>
  </conditionalFormatting>
  <conditionalFormatting sqref="P12">
    <cfRule type="cellIs" dxfId="4" priority="341" operator="between">
      <formula>0.01</formula>
      <formula>0.19</formula>
    </cfRule>
    <cfRule type="cellIs" dxfId="3" priority="342" operator="between">
      <formula>0.2</formula>
      <formula>0.01</formula>
    </cfRule>
    <cfRule type="cellIs" dxfId="2" priority="343" operator="between">
      <formula>29</formula>
      <formula>21</formula>
    </cfRule>
    <cfRule type="cellIs" dxfId="1" priority="344" operator="between">
      <formula>0.99</formula>
      <formula>0.3</formula>
    </cfRule>
    <cfRule type="cellIs" dxfId="0" priority="345" operator="between">
      <formula>0.99</formula>
      <formula>0.4</formula>
    </cfRule>
  </conditionalFormatting>
  <dataValidations count="4">
    <dataValidation showDropDown="1" showInputMessage="1" showErrorMessage="1" sqref="D28:D39 E31:E37 D12:E27" xr:uid="{00000000-0002-0000-0000-000004000000}"/>
    <dataValidation type="list" allowBlank="1" showInputMessage="1" showErrorMessage="1" sqref="C12:C39" xr:uid="{00000000-0002-0000-0000-000003000000}">
      <formula1>"FI,CO,MM,SD,PP,WM,PM,QM,GE,BASIS,ABAP, BOBJ, BW, DS,BPC"</formula1>
    </dataValidation>
    <dataValidation type="list" allowBlank="1" showInputMessage="1" showErrorMessage="1" sqref="N12:N39" xr:uid="{00000000-0002-0000-0000-000001000000}">
      <formula1>"Alta,Media, Baja"</formula1>
    </dataValidation>
    <dataValidation type="list" allowBlank="1" showInputMessage="1" showErrorMessage="1" sqref="M12:M39" xr:uid="{00000000-0002-0000-0000-000002000000}">
      <formula1>"Muy Alto,Alto,Moderado,Bajo,Muy Bajo"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scale="40" orientation="landscape" r:id="rId1"/>
  <headerFooter>
    <oddFooter>&amp;LFT-PM-006 Rev. 1</oddFooter>
  </headerFooter>
  <colBreaks count="1" manualBreakCount="1">
    <brk id="19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21269F8-7194-43A3-B365-081ACDC54849}">
          <x14:formula1>
            <xm:f>Hoja1!$D$2:$D$7</xm:f>
          </x14:formula1>
          <xm:sqref>F12:F39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D7"/>
  <sheetViews>
    <sheetView workbookViewId="0">
      <selection activeCell="A2" sqref="A2"/>
    </sheetView>
  </sheetViews>
  <sheetFormatPr defaultColWidth="11.42578125" defaultRowHeight="14.45"/>
  <sheetData>
    <row r="2" spans="4:4">
      <c r="D2" t="s">
        <v>33</v>
      </c>
    </row>
    <row r="3" spans="4:4">
      <c r="D3" t="s">
        <v>34</v>
      </c>
    </row>
    <row r="4" spans="4:4">
      <c r="D4" t="s">
        <v>35</v>
      </c>
    </row>
    <row r="5" spans="4:4">
      <c r="D5" t="s">
        <v>36</v>
      </c>
    </row>
    <row r="6" spans="4:4">
      <c r="D6" t="s">
        <v>37</v>
      </c>
    </row>
    <row r="7" spans="4:4">
      <c r="D7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0933FB9B2F1D4F9F358793066F2F93" ma:contentTypeVersion="15" ma:contentTypeDescription="Crear nuevo documento." ma:contentTypeScope="" ma:versionID="453e89a8e12610186d4846f699eb02c1">
  <xsd:schema xmlns:xsd="http://www.w3.org/2001/XMLSchema" xmlns:xs="http://www.w3.org/2001/XMLSchema" xmlns:p="http://schemas.microsoft.com/office/2006/metadata/properties" xmlns:ns2="128a28c0-da14-4ae3-a5b3-7e7726b179f2" xmlns:ns3="6df1d54a-6733-4d5a-8791-e252e9eba508" targetNamespace="http://schemas.microsoft.com/office/2006/metadata/properties" ma:root="true" ma:fieldsID="1f1b227e2537d038dfb780ffcb011e63" ns2:_="" ns3:_="">
    <xsd:import namespace="128a28c0-da14-4ae3-a5b3-7e7726b179f2"/>
    <xsd:import namespace="6df1d54a-6733-4d5a-8791-e252e9eba5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8a28c0-da14-4ae3-a5b3-7e7726b179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a82af1dc-6a51-407f-b465-c42caedc08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f1d54a-6733-4d5a-8791-e252e9eba50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5df92e5-e363-4d66-9a47-b4e338fb2e31}" ma:internalName="TaxCatchAll" ma:showField="CatchAllData" ma:web="6df1d54a-6733-4d5a-8791-e252e9eba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f1d54a-6733-4d5a-8791-e252e9eba508" xsi:nil="true"/>
    <lcf76f155ced4ddcb4097134ff3c332f xmlns="128a28c0-da14-4ae3-a5b3-7e7726b179f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F337B6-D9D0-4B66-A6CC-C980671AA500}"/>
</file>

<file path=customXml/itemProps2.xml><?xml version="1.0" encoding="utf-8"?>
<ds:datastoreItem xmlns:ds="http://schemas.openxmlformats.org/officeDocument/2006/customXml" ds:itemID="{1A0CB681-763F-4139-B30B-05ACEDB1DBBB}"/>
</file>

<file path=customXml/itemProps3.xml><?xml version="1.0" encoding="utf-8"?>
<ds:datastoreItem xmlns:ds="http://schemas.openxmlformats.org/officeDocument/2006/customXml" ds:itemID="{6B5BDB4C-6EB6-4DFC-8594-016262910D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Prologisys SA de CV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Riesgos - Gaps</dc:title>
  <dc:subject/>
  <dc:creator>Juan Carlos Sánchez</dc:creator>
  <cp:keywords/>
  <dc:description/>
  <cp:lastModifiedBy>Octavio Alejandro Rodriguez Cruz</cp:lastModifiedBy>
  <cp:revision/>
  <dcterms:created xsi:type="dcterms:W3CDTF">2012-09-27T15:03:54Z</dcterms:created>
  <dcterms:modified xsi:type="dcterms:W3CDTF">2025-10-06T22:34:11Z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0x010100890933FB9B2F1D4F9F358793066F2F93</vt:lpwstr>
  </property>
</Properties>
</file>